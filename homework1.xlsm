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ЭтаКнига" defaultThemeVersion="124226"/>
  <bookViews>
    <workbookView xWindow="240" yWindow="108" windowWidth="14808" windowHeight="8016"/>
  </bookViews>
  <sheets>
    <sheet name="Лист1" sheetId="1" r:id="rId1"/>
    <sheet name="Лист2" sheetId="2" r:id="rId2"/>
    <sheet name="Лист3" sheetId="3" r:id="rId3"/>
  </sheets>
  <calcPr calcId="144525"/>
</workbook>
</file>

<file path=xl/calcChain.xml><?xml version="1.0" encoding="utf-8"?>
<calcChain xmlns="http://schemas.openxmlformats.org/spreadsheetml/2006/main">
  <c r="H16" i="1" l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G16" i="1"/>
  <c r="C5" i="1"/>
  <c r="AJ14" i="1"/>
  <c r="F14" i="1"/>
  <c r="J13" i="1"/>
  <c r="K13" i="1"/>
  <c r="L13" i="1"/>
  <c r="M13" i="1"/>
  <c r="N13" i="1" s="1"/>
  <c r="O13" i="1" s="1"/>
  <c r="P13" i="1" s="1"/>
  <c r="Q13" i="1" s="1"/>
  <c r="R13" i="1" s="1"/>
  <c r="S13" i="1" s="1"/>
  <c r="T13" i="1" s="1"/>
  <c r="U13" i="1" s="1"/>
  <c r="V13" i="1" s="1"/>
  <c r="W13" i="1" s="1"/>
  <c r="X13" i="1" s="1"/>
  <c r="Y13" i="1" s="1"/>
  <c r="Z13" i="1" s="1"/>
  <c r="AA13" i="1" s="1"/>
  <c r="AB13" i="1" s="1"/>
  <c r="AC13" i="1" s="1"/>
  <c r="AD13" i="1" s="1"/>
  <c r="AE13" i="1" s="1"/>
  <c r="AF13" i="1" s="1"/>
  <c r="AG13" i="1" s="1"/>
  <c r="AH13" i="1" s="1"/>
  <c r="AI13" i="1" s="1"/>
  <c r="AJ13" i="1" s="1"/>
  <c r="H13" i="1"/>
  <c r="I13" i="1" s="1"/>
  <c r="G13" i="1"/>
  <c r="C4" i="1"/>
</calcChain>
</file>

<file path=xl/sharedStrings.xml><?xml version="1.0" encoding="utf-8"?>
<sst xmlns="http://schemas.openxmlformats.org/spreadsheetml/2006/main" count="12" uniqueCount="11">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</sst>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8" formatCode="0.0000"/>
    <numFmt numFmtId="169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 applyAlignment="1">
      <alignment horizontal="center"/>
    </xf>
    <xf numFmtId="168" fontId="0" fillId="0" borderId="1" xfId="0" applyNumberFormat="1" applyBorder="1"/>
    <xf numFmtId="0" fontId="0" fillId="0" borderId="1" xfId="0" applyBorder="1"/>
    <xf numFmtId="169" fontId="0" fillId="0" borderId="1" xfId="0" applyNumberFormat="1" applyBorder="1"/>
    <xf numFmtId="0" fontId="0" fillId="0" borderId="0" xfId="0" applyBorder="1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185376164262654"/>
          <c:y val="0.1216948405924784"/>
          <c:w val="0.61215060506817176"/>
          <c:h val="0.77015792606343791"/>
        </c:manualLayout>
      </c:layout>
      <c:scatterChart>
        <c:scatterStyle val="smooth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Лист1!$F$13:$AJ$13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Лист1!$F$14:$AJ$14</c:f>
              <c:numCache>
                <c:formatCode>General</c:formatCode>
                <c:ptCount val="31"/>
                <c:pt idx="0">
                  <c:v>300</c:v>
                </c:pt>
                <c:pt idx="1">
                  <c:v>293.32859391186332</c:v>
                </c:pt>
                <c:pt idx="2">
                  <c:v>286.65718782372664</c:v>
                </c:pt>
                <c:pt idx="3">
                  <c:v>279.98598887105044</c:v>
                </c:pt>
                <c:pt idx="4">
                  <c:v>273.31478991837423</c:v>
                </c:pt>
                <c:pt idx="5">
                  <c:v>266.64399618380548</c:v>
                </c:pt>
                <c:pt idx="6">
                  <c:v>259.97320244923674</c:v>
                </c:pt>
                <c:pt idx="7">
                  <c:v>253.30299430544665</c:v>
                </c:pt>
                <c:pt idx="8">
                  <c:v>246.63278616165655</c:v>
                </c:pt>
                <c:pt idx="9">
                  <c:v>239.96331838818929</c:v>
                </c:pt>
                <c:pt idx="10">
                  <c:v>233.29385061472203</c:v>
                </c:pt>
                <c:pt idx="11">
                  <c:v>226.62524563338596</c:v>
                </c:pt>
                <c:pt idx="12">
                  <c:v>219.95664065204988</c:v>
                </c:pt>
                <c:pt idx="13">
                  <c:v>213.28898317649714</c:v>
                </c:pt>
                <c:pt idx="14">
                  <c:v>206.62132570094442</c:v>
                </c:pt>
                <c:pt idx="15">
                  <c:v>199.95465903427777</c:v>
                </c:pt>
                <c:pt idx="16">
                  <c:v>193.28799236761111</c:v>
                </c:pt>
                <c:pt idx="17">
                  <c:v>186.62231650983051</c:v>
                </c:pt>
                <c:pt idx="18">
                  <c:v>179.95664065204994</c:v>
                </c:pt>
                <c:pt idx="19">
                  <c:v>173.2919123000527</c:v>
                </c:pt>
                <c:pt idx="20">
                  <c:v>166.62718394805546</c:v>
                </c:pt>
                <c:pt idx="21">
                  <c:v>159.96331838818941</c:v>
                </c:pt>
                <c:pt idx="22">
                  <c:v>153.29945282832335</c:v>
                </c:pt>
                <c:pt idx="23">
                  <c:v>146.63632763878013</c:v>
                </c:pt>
                <c:pt idx="24">
                  <c:v>139.97320244923688</c:v>
                </c:pt>
                <c:pt idx="25">
                  <c:v>133.31066285047228</c:v>
                </c:pt>
                <c:pt idx="26">
                  <c:v>126.64812325170769</c:v>
                </c:pt>
                <c:pt idx="27">
                  <c:v>119.98598887105051</c:v>
                </c:pt>
                <c:pt idx="28">
                  <c:v>113.32385449039334</c:v>
                </c:pt>
                <c:pt idx="29">
                  <c:v>106.66192724519667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444928"/>
        <c:axId val="158443392"/>
      </c:scatterChart>
      <c:valAx>
        <c:axId val="158444928"/>
        <c:scaling>
          <c:orientation val="minMax"/>
          <c:max val="0.1"/>
        </c:scaling>
        <c:delete val="0"/>
        <c:axPos val="b"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400" b="1" i="1"/>
            </a:pPr>
            <a:endParaRPr lang="ru-RU"/>
          </a:p>
        </c:txPr>
        <c:crossAx val="158443392"/>
        <c:crosses val="autoZero"/>
        <c:crossBetween val="midCat"/>
      </c:valAx>
      <c:valAx>
        <c:axId val="158443392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400" b="1" i="1"/>
            </a:pPr>
            <a:endParaRPr lang="ru-RU"/>
          </a:p>
        </c:txPr>
        <c:crossAx val="1584449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502920</xdr:colOff>
      <xdr:row>18</xdr:row>
      <xdr:rowOff>26670</xdr:rowOff>
    </xdr:from>
    <xdr:to>
      <xdr:col>11</xdr:col>
      <xdr:colOff>541020</xdr:colOff>
      <xdr:row>39</xdr:row>
      <xdr:rowOff>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7620</xdr:colOff>
      <xdr:row>18</xdr:row>
      <xdr:rowOff>171450</xdr:rowOff>
    </xdr:from>
    <xdr:ext cx="2141220" cy="264560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/>
            <xdr:cNvSpPr txBox="1"/>
          </xdr:nvSpPr>
          <xdr:spPr>
            <a:xfrm>
              <a:off x="8039100" y="3463290"/>
              <a:ext cx="214122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/>
                      </a:rPr>
                      <m:t>𝑇</m:t>
                    </m:r>
                    <m:r>
                      <a:rPr lang="en-US" sz="1100" b="0" i="1">
                        <a:latin typeface="Cambria Math"/>
                      </a:rPr>
                      <m:t>, [</m:t>
                    </m:r>
                    <m:r>
                      <a:rPr lang="en-US" sz="1100" b="0" i="1">
                        <a:latin typeface="Cambria Math"/>
                      </a:rPr>
                      <m:t>𝐶</m:t>
                    </m:r>
                    <m:r>
                      <a:rPr lang="en-US" sz="1100" b="0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4" name="TextBox 3"/>
            <xdr:cNvSpPr txBox="1"/>
          </xdr:nvSpPr>
          <xdr:spPr>
            <a:xfrm>
              <a:off x="8039100" y="3463290"/>
              <a:ext cx="214122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100" b="0" i="0">
                  <a:latin typeface="Cambria Math"/>
                </a:rPr>
                <a:t>𝑇, [𝐶]</a:t>
              </a:r>
              <a:endParaRPr lang="ru-RU" sz="1100"/>
            </a:p>
          </xdr:txBody>
        </xdr:sp>
      </mc:Fallback>
    </mc:AlternateContent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0.0118</cdr:x>
      <cdr:y>0</cdr:y>
    </cdr:from>
    <cdr:to>
      <cdr:x>0.14159</cdr:x>
      <cdr:y>0.08168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2" name="TextBox 3"/>
            <cdr:cNvSpPr txBox="1"/>
          </cdr:nvSpPr>
          <cdr:spPr>
            <a:xfrm xmlns:a="http://schemas.openxmlformats.org/drawingml/2006/main">
              <a:off x="50800" y="0"/>
              <a:ext cx="558800" cy="31149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/>
                      </a:rPr>
                      <m:t>𝑻</m:t>
                    </m:r>
                    <m:r>
                      <a:rPr lang="en-US" sz="1400" b="1" i="1">
                        <a:latin typeface="Cambria Math"/>
                      </a:rPr>
                      <m:t>, [</m:t>
                    </m:r>
                    <m:r>
                      <a:rPr lang="en-US" sz="1400" b="1" i="1">
                        <a:latin typeface="Cambria Math"/>
                      </a:rPr>
                      <m:t>𝑪</m:t>
                    </m:r>
                    <m:r>
                      <a:rPr lang="en-US" sz="14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400" b="1"/>
            </a:p>
          </cdr:txBody>
        </cdr:sp>
      </mc:Choice>
      <mc:Fallback>
        <cdr:sp macro="" textlink="">
          <cdr:nvSpPr>
            <cdr:cNvPr id="2" name="TextBox 3"/>
            <cdr:cNvSpPr txBox="1"/>
          </cdr:nvSpPr>
          <cdr:spPr>
            <a:xfrm xmlns:a="http://schemas.openxmlformats.org/drawingml/2006/main">
              <a:off x="50800" y="0"/>
              <a:ext cx="558800" cy="31149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400" b="1" i="0">
                  <a:latin typeface="Cambria Math"/>
                </a:rPr>
                <a:t>𝑻, [𝑪]</a:t>
              </a:r>
              <a:endParaRPr lang="ru-RU" sz="1400" b="1"/>
            </a:p>
          </cdr:txBody>
        </cdr:sp>
      </mc:Fallback>
    </mc:AlternateContent>
  </cdr:relSizeAnchor>
  <cdr:relSizeAnchor xmlns:cdr="http://schemas.openxmlformats.org/drawingml/2006/chartDrawing">
    <cdr:from>
      <cdr:x>0.82655</cdr:x>
      <cdr:y>0.91012</cdr:y>
    </cdr:from>
    <cdr:to>
      <cdr:x>0.98407</cdr:x>
      <cdr:y>0.9918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5" name="TextBox 3"/>
            <cdr:cNvSpPr txBox="1"/>
          </cdr:nvSpPr>
          <cdr:spPr>
            <a:xfrm xmlns:a="http://schemas.openxmlformats.org/drawingml/2006/main">
              <a:off x="3558540" y="3471024"/>
              <a:ext cx="678180" cy="31149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400" b="1" i="1"/>
                <a:t>L</a:t>
              </a:r>
              <a14:m>
                <m:oMath xmlns:m="http://schemas.openxmlformats.org/officeDocument/2006/math">
                  <m:r>
                    <a:rPr lang="en-US" sz="1400" b="1" i="1">
                      <a:latin typeface="Cambria Math"/>
                    </a:rPr>
                    <m:t>, [</m:t>
                  </m:r>
                  <m:r>
                    <a:rPr lang="en-US" sz="1400" b="1" i="1">
                      <a:latin typeface="Cambria Math"/>
                    </a:rPr>
                    <m:t>𝒎</m:t>
                  </m:r>
                  <m:r>
                    <a:rPr lang="en-US" sz="1400" b="1" i="1">
                      <a:latin typeface="Cambria Math"/>
                    </a:rPr>
                    <m:t>]</m:t>
                  </m:r>
                </m:oMath>
              </a14:m>
              <a:endParaRPr lang="ru-RU" sz="1400" b="1" i="1"/>
            </a:p>
          </cdr:txBody>
        </cdr:sp>
      </mc:Choice>
      <mc:Fallback>
        <cdr:sp macro="" textlink="">
          <cdr:nvSpPr>
            <cdr:cNvPr id="5" name="TextBox 3"/>
            <cdr:cNvSpPr txBox="1"/>
          </cdr:nvSpPr>
          <cdr:spPr>
            <a:xfrm xmlns:a="http://schemas.openxmlformats.org/drawingml/2006/main">
              <a:off x="3558540" y="3471024"/>
              <a:ext cx="678180" cy="31149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400" b="1" i="1"/>
                <a:t>L</a:t>
              </a:r>
              <a:r>
                <a:rPr lang="en-US" sz="1400" b="1" i="0">
                  <a:latin typeface="Cambria Math"/>
                </a:rPr>
                <a:t>, [𝒎]</a:t>
              </a:r>
              <a:endParaRPr lang="ru-RU" sz="1400" b="1" i="1"/>
            </a:p>
          </cdr:txBody>
        </cdr:sp>
      </mc:Fallback>
    </mc:AlternateContent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16"/>
  <sheetViews>
    <sheetView tabSelected="1" zoomScale="80" zoomScaleNormal="80" workbookViewId="0">
      <selection activeCell="H6" sqref="H6"/>
    </sheetView>
  </sheetViews>
  <sheetFormatPr defaultRowHeight="14.4" x14ac:dyDescent="0.3"/>
  <cols>
    <col min="3" max="3" width="10.44140625" bestFit="1" customWidth="1"/>
  </cols>
  <sheetData>
    <row r="3" spans="2:36" x14ac:dyDescent="0.3">
      <c r="B3" s="3" t="s">
        <v>0</v>
      </c>
      <c r="C3" s="3">
        <v>0.1</v>
      </c>
    </row>
    <row r="4" spans="2:36" x14ac:dyDescent="0.3">
      <c r="B4" s="3" t="s">
        <v>1</v>
      </c>
      <c r="C4" s="4">
        <f>C3/30</f>
        <v>3.3333333333333335E-3</v>
      </c>
    </row>
    <row r="5" spans="2:36" x14ac:dyDescent="0.3">
      <c r="B5" s="3" t="s">
        <v>2</v>
      </c>
      <c r="C5" s="4">
        <f>(C9*C8*C4^2)/(2*C10)</f>
        <v>0.4333333333333334</v>
      </c>
    </row>
    <row r="6" spans="2:36" x14ac:dyDescent="0.3">
      <c r="B6" s="3" t="s">
        <v>3</v>
      </c>
      <c r="C6" s="3">
        <v>500</v>
      </c>
      <c r="D6">
        <v>500.06666666666672</v>
      </c>
    </row>
    <row r="7" spans="2:36" x14ac:dyDescent="0.3">
      <c r="B7" s="5"/>
      <c r="C7" s="5"/>
    </row>
    <row r="8" spans="2:36" x14ac:dyDescent="0.3">
      <c r="B8" s="3" t="s">
        <v>4</v>
      </c>
      <c r="C8" s="3">
        <v>460</v>
      </c>
    </row>
    <row r="9" spans="2:36" x14ac:dyDescent="0.3">
      <c r="B9" s="3" t="s">
        <v>5</v>
      </c>
      <c r="C9" s="3">
        <v>7800</v>
      </c>
    </row>
    <row r="10" spans="2:36" x14ac:dyDescent="0.3">
      <c r="B10" s="3" t="s">
        <v>6</v>
      </c>
      <c r="C10" s="3">
        <v>46</v>
      </c>
    </row>
    <row r="11" spans="2:36" x14ac:dyDescent="0.3">
      <c r="B11" s="5"/>
      <c r="C11" s="5"/>
    </row>
    <row r="12" spans="2:36" x14ac:dyDescent="0.3">
      <c r="B12" s="5"/>
      <c r="C12" s="5"/>
      <c r="F12" s="1">
        <v>1</v>
      </c>
      <c r="G12" s="1">
        <v>2</v>
      </c>
      <c r="H12" s="1">
        <v>3</v>
      </c>
      <c r="I12" s="1">
        <v>4</v>
      </c>
      <c r="J12" s="1">
        <v>5</v>
      </c>
      <c r="K12" s="1">
        <v>6</v>
      </c>
      <c r="L12" s="1">
        <v>7</v>
      </c>
      <c r="M12" s="1">
        <v>8</v>
      </c>
      <c r="N12" s="1">
        <v>9</v>
      </c>
      <c r="O12" s="1">
        <v>10</v>
      </c>
      <c r="P12" s="1">
        <v>11</v>
      </c>
      <c r="Q12" s="1">
        <v>12</v>
      </c>
      <c r="R12" s="1">
        <v>13</v>
      </c>
      <c r="S12" s="1">
        <v>14</v>
      </c>
      <c r="T12" s="1">
        <v>15</v>
      </c>
      <c r="U12" s="1">
        <v>16</v>
      </c>
      <c r="V12" s="1">
        <v>17</v>
      </c>
      <c r="W12" s="1">
        <v>18</v>
      </c>
      <c r="X12" s="1">
        <v>19</v>
      </c>
      <c r="Y12" s="1">
        <v>20</v>
      </c>
      <c r="Z12" s="1">
        <v>21</v>
      </c>
      <c r="AA12" s="1">
        <v>22</v>
      </c>
      <c r="AB12" s="1">
        <v>23</v>
      </c>
      <c r="AC12" s="1">
        <v>24</v>
      </c>
      <c r="AD12" s="1">
        <v>25</v>
      </c>
      <c r="AE12" s="1">
        <v>26</v>
      </c>
      <c r="AF12" s="1">
        <v>27</v>
      </c>
      <c r="AG12" s="1">
        <v>28</v>
      </c>
      <c r="AH12" s="1">
        <v>29</v>
      </c>
      <c r="AI12" s="1">
        <v>30</v>
      </c>
      <c r="AJ12" s="1">
        <v>31</v>
      </c>
    </row>
    <row r="13" spans="2:36" x14ac:dyDescent="0.3">
      <c r="B13" s="3" t="s">
        <v>8</v>
      </c>
      <c r="C13" s="3">
        <v>300</v>
      </c>
      <c r="E13" t="s">
        <v>0</v>
      </c>
      <c r="F13" s="2">
        <v>0</v>
      </c>
      <c r="G13" s="2">
        <f>F13+$C$4</f>
        <v>3.3333333333333335E-3</v>
      </c>
      <c r="H13" s="2">
        <f t="shared" ref="H13:AJ13" si="0">G13+$C$4</f>
        <v>6.6666666666666671E-3</v>
      </c>
      <c r="I13" s="2">
        <f t="shared" si="0"/>
        <v>0.01</v>
      </c>
      <c r="J13" s="2">
        <f t="shared" si="0"/>
        <v>1.3333333333333334E-2</v>
      </c>
      <c r="K13" s="2">
        <f t="shared" si="0"/>
        <v>1.6666666666666666E-2</v>
      </c>
      <c r="L13" s="2">
        <f t="shared" si="0"/>
        <v>0.02</v>
      </c>
      <c r="M13" s="2">
        <f t="shared" si="0"/>
        <v>2.3333333333333334E-2</v>
      </c>
      <c r="N13" s="2">
        <f t="shared" si="0"/>
        <v>2.6666666666666668E-2</v>
      </c>
      <c r="O13" s="2">
        <f t="shared" si="0"/>
        <v>3.0000000000000002E-2</v>
      </c>
      <c r="P13" s="2">
        <f t="shared" si="0"/>
        <v>3.3333333333333333E-2</v>
      </c>
      <c r="Q13" s="2">
        <f t="shared" si="0"/>
        <v>3.6666666666666667E-2</v>
      </c>
      <c r="R13" s="2">
        <f t="shared" si="0"/>
        <v>0.04</v>
      </c>
      <c r="S13" s="2">
        <f t="shared" si="0"/>
        <v>4.3333333333333335E-2</v>
      </c>
      <c r="T13" s="2">
        <f t="shared" si="0"/>
        <v>4.6666666666666669E-2</v>
      </c>
      <c r="U13" s="2">
        <f t="shared" si="0"/>
        <v>0.05</v>
      </c>
      <c r="V13" s="2">
        <f t="shared" si="0"/>
        <v>5.3333333333333337E-2</v>
      </c>
      <c r="W13" s="2">
        <f t="shared" si="0"/>
        <v>5.6666666666666671E-2</v>
      </c>
      <c r="X13" s="2">
        <f t="shared" si="0"/>
        <v>6.0000000000000005E-2</v>
      </c>
      <c r="Y13" s="2">
        <f t="shared" si="0"/>
        <v>6.3333333333333339E-2</v>
      </c>
      <c r="Z13" s="2">
        <f t="shared" si="0"/>
        <v>6.6666666666666666E-2</v>
      </c>
      <c r="AA13" s="2">
        <f t="shared" si="0"/>
        <v>6.9999999999999993E-2</v>
      </c>
      <c r="AB13" s="2">
        <f t="shared" si="0"/>
        <v>7.333333333333332E-2</v>
      </c>
      <c r="AC13" s="2">
        <f t="shared" si="0"/>
        <v>7.6666666666666647E-2</v>
      </c>
      <c r="AD13" s="2">
        <f t="shared" si="0"/>
        <v>7.9999999999999974E-2</v>
      </c>
      <c r="AE13" s="2">
        <f t="shared" si="0"/>
        <v>8.3333333333333301E-2</v>
      </c>
      <c r="AF13" s="2">
        <f t="shared" si="0"/>
        <v>8.6666666666666628E-2</v>
      </c>
      <c r="AG13" s="2">
        <f t="shared" si="0"/>
        <v>8.9999999999999955E-2</v>
      </c>
      <c r="AH13" s="2">
        <f t="shared" si="0"/>
        <v>9.3333333333333282E-2</v>
      </c>
      <c r="AI13" s="2">
        <f t="shared" si="0"/>
        <v>9.6666666666666609E-2</v>
      </c>
      <c r="AJ13" s="2">
        <f t="shared" si="0"/>
        <v>9.9999999999999936E-2</v>
      </c>
    </row>
    <row r="14" spans="2:36" x14ac:dyDescent="0.3">
      <c r="B14" s="3" t="s">
        <v>9</v>
      </c>
      <c r="C14" s="3">
        <v>100</v>
      </c>
      <c r="E14" t="s">
        <v>7</v>
      </c>
      <c r="F14">
        <f>C13</f>
        <v>300</v>
      </c>
      <c r="G14">
        <v>293.32859391186332</v>
      </c>
      <c r="H14">
        <v>286.65718782372664</v>
      </c>
      <c r="I14">
        <v>279.98598887105044</v>
      </c>
      <c r="J14">
        <v>273.31478991837423</v>
      </c>
      <c r="K14">
        <v>266.64399618380548</v>
      </c>
      <c r="L14">
        <v>259.97320244923674</v>
      </c>
      <c r="M14">
        <v>253.30299430544665</v>
      </c>
      <c r="N14">
        <v>246.63278616165655</v>
      </c>
      <c r="O14">
        <v>239.96331838818929</v>
      </c>
      <c r="P14">
        <v>233.29385061472203</v>
      </c>
      <c r="Q14">
        <v>226.62524563338596</v>
      </c>
      <c r="R14">
        <v>219.95664065204988</v>
      </c>
      <c r="S14">
        <v>213.28898317649714</v>
      </c>
      <c r="T14">
        <v>206.62132570094442</v>
      </c>
      <c r="U14">
        <v>199.95465903427777</v>
      </c>
      <c r="V14">
        <v>193.28799236761111</v>
      </c>
      <c r="W14">
        <v>186.62231650983051</v>
      </c>
      <c r="X14">
        <v>179.95664065204994</v>
      </c>
      <c r="Y14">
        <v>173.2919123000527</v>
      </c>
      <c r="Z14">
        <v>166.62718394805546</v>
      </c>
      <c r="AA14">
        <v>159.96331838818941</v>
      </c>
      <c r="AB14">
        <v>153.29945282832335</v>
      </c>
      <c r="AC14">
        <v>146.63632763878013</v>
      </c>
      <c r="AD14">
        <v>139.97320244923688</v>
      </c>
      <c r="AE14">
        <v>133.31066285047228</v>
      </c>
      <c r="AF14">
        <v>126.64812325170769</v>
      </c>
      <c r="AG14">
        <v>119.98598887105051</v>
      </c>
      <c r="AH14">
        <v>113.32385449039334</v>
      </c>
      <c r="AI14">
        <v>106.66192724519667</v>
      </c>
      <c r="AJ14">
        <f>C14</f>
        <v>100</v>
      </c>
    </row>
    <row r="16" spans="2:36" x14ac:dyDescent="0.3">
      <c r="E16" t="s">
        <v>10</v>
      </c>
      <c r="G16">
        <f>G14+(($C$10*$C$5)/($C$9*$C$8))*((H14-2*G14+F14)/($C$4^2))</f>
        <v>293.32859391186332</v>
      </c>
      <c r="H16">
        <f t="shared" ref="H16:AI16" si="1">H14+(($C$10*$C$5)/($C$9*$C$8))*((I14-2*H14+G14)/($C$4^2))</f>
        <v>286.65729139145685</v>
      </c>
      <c r="I16">
        <f t="shared" si="1"/>
        <v>279.98598887105044</v>
      </c>
      <c r="J16">
        <f t="shared" si="1"/>
        <v>273.31499252742799</v>
      </c>
      <c r="K16">
        <f t="shared" si="1"/>
        <v>266.64399618380548</v>
      </c>
      <c r="L16">
        <f t="shared" si="1"/>
        <v>259.97349524462606</v>
      </c>
      <c r="M16">
        <f t="shared" si="1"/>
        <v>253.30299430544665</v>
      </c>
      <c r="N16">
        <f t="shared" si="1"/>
        <v>246.63315634681797</v>
      </c>
      <c r="O16">
        <f t="shared" si="1"/>
        <v>239.96331838818929</v>
      </c>
      <c r="P16">
        <f t="shared" si="1"/>
        <v>233.29428201078764</v>
      </c>
      <c r="Q16">
        <f t="shared" si="1"/>
        <v>226.62524563338596</v>
      </c>
      <c r="R16">
        <f t="shared" si="1"/>
        <v>219.95711440494154</v>
      </c>
      <c r="S16">
        <f t="shared" si="1"/>
        <v>213.28898317649714</v>
      </c>
      <c r="T16">
        <f t="shared" si="1"/>
        <v>206.62182110538745</v>
      </c>
      <c r="U16">
        <f t="shared" si="1"/>
        <v>199.95465903427777</v>
      </c>
      <c r="V16">
        <f t="shared" si="1"/>
        <v>193.28848777205414</v>
      </c>
      <c r="W16">
        <f t="shared" si="1"/>
        <v>186.62231650983051</v>
      </c>
      <c r="X16">
        <f t="shared" si="1"/>
        <v>179.95711440494159</v>
      </c>
      <c r="Y16">
        <f t="shared" si="1"/>
        <v>173.2919123000527</v>
      </c>
      <c r="Z16">
        <f t="shared" si="1"/>
        <v>166.62761534412107</v>
      </c>
      <c r="AA16">
        <f t="shared" si="1"/>
        <v>159.96331838818941</v>
      </c>
      <c r="AB16">
        <f t="shared" si="1"/>
        <v>153.29982301348477</v>
      </c>
      <c r="AC16">
        <f t="shared" si="1"/>
        <v>146.63632763878013</v>
      </c>
      <c r="AD16">
        <f t="shared" si="1"/>
        <v>139.97349524462621</v>
      </c>
      <c r="AE16">
        <f t="shared" si="1"/>
        <v>133.31066285047228</v>
      </c>
      <c r="AF16">
        <f t="shared" si="1"/>
        <v>126.64832586076139</v>
      </c>
      <c r="AG16">
        <f t="shared" si="1"/>
        <v>119.98598887105052</v>
      </c>
      <c r="AH16">
        <f t="shared" si="1"/>
        <v>113.32395805812359</v>
      </c>
      <c r="AI16">
        <f t="shared" si="1"/>
        <v>106.66192724519667</v>
      </c>
    </row>
  </sheetData>
  <conditionalFormatting sqref="F14:AJ14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2021-09-07T10:50:12Z</dcterms:modified>
</cp:coreProperties>
</file>