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0" yWindow="0" windowWidth="20496" windowHeight="7752" activeTab="1"/>
  </bookViews>
  <sheets>
    <sheet name="Лист1" sheetId="1" r:id="rId1"/>
    <sheet name="Лист2" sheetId="2" r:id="rId2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C4" i="1"/>
  <c r="L20" i="1" s="1"/>
  <c r="AJ14" i="1"/>
  <c r="F19" i="1"/>
  <c r="C17" i="1"/>
  <c r="G20" i="1"/>
  <c r="H20" i="1"/>
  <c r="I20" i="1"/>
  <c r="J20" i="1"/>
  <c r="K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F20" i="1"/>
  <c r="C16" i="1"/>
  <c r="C15" i="1"/>
  <c r="G18" i="1" l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G19" i="1"/>
  <c r="C2" i="1"/>
  <c r="AH18" i="1" l="1"/>
  <c r="H19" i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I18" i="1" l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<sst xmlns="http://schemas.openxmlformats.org/spreadsheetml/2006/main" count="32" uniqueCount="19">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</sst>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/>
    </xf>
    <xf numFmtId="165" fontId="0" fillId="0" borderId="0" xfId="0" applyNumberFormat="1"/>
    <xf numFmtId="1" fontId="0" fillId="0" borderId="1" xfId="0" applyNumberFormat="1" applyBorder="1" applyAlignment="1">
      <alignment horizontal="center"/>
    </xf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50193040786083"/>
          <c:y val="2.4416797900262466E-2"/>
          <c:w val="0.81275409210806382"/>
          <c:h val="0.86302729658792654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Лист1!$F$11:$AJ$11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287.47733394602392</c:v>
                </c:pt>
                <c:pt idx="2">
                  <c:v>275.01989164511792</c:v>
                </c:pt>
                <c:pt idx="3">
                  <c:v>262.69213552613974</c:v>
                </c:pt>
                <c:pt idx="4">
                  <c:v>250.55701577301647</c:v>
                </c:pt>
                <c:pt idx="5">
                  <c:v>238.67524000490067</c:v>
                </c:pt>
                <c:pt idx="6">
                  <c:v>227.10457334883742</c:v>
                </c:pt>
                <c:pt idx="7">
                  <c:v>215.89917810388795</c:v>
                </c:pt>
                <c:pt idx="8">
                  <c:v>205.10900143437459</c:v>
                </c:pt>
                <c:pt idx="9">
                  <c:v>194.77921862329919</c:v>
                </c:pt>
                <c:pt idx="10">
                  <c:v>184.94973839223081</c:v>
                </c:pt>
                <c:pt idx="11">
                  <c:v>175.65477568107517</c:v>
                </c:pt>
                <c:pt idx="12">
                  <c:v>166.92249611174697</c:v>
                </c:pt>
                <c:pt idx="13">
                  <c:v>158.77473516585943</c:v>
                </c:pt>
                <c:pt idx="14">
                  <c:v>151.226793919252</c:v>
                </c:pt>
                <c:pt idx="15">
                  <c:v>144.28731202462149</c:v>
                </c:pt>
                <c:pt idx="16">
                  <c:v>137.95821754379239</c:v>
                </c:pt>
                <c:pt idx="17">
                  <c:v>132.23475222546401</c:v>
                </c:pt>
                <c:pt idx="18">
                  <c:v>127.10556992026865</c:v>
                </c:pt>
                <c:pt idx="19">
                  <c:v>122.55290503534707</c:v>
                </c:pt>
                <c:pt idx="20">
                  <c:v>118.55280726290889</c:v>
                </c:pt>
                <c:pt idx="21">
                  <c:v>115.07543827375075</c:v>
                </c:pt>
                <c:pt idx="22">
                  <c:v>112.08542564491957</c:v>
                </c:pt>
                <c:pt idx="23">
                  <c:v>109.54226898364151</c:v>
                </c:pt>
                <c:pt idx="24">
                  <c:v>107.4007930064752</c:v>
                </c:pt>
                <c:pt idx="25">
                  <c:v>105.61164221949996</c:v>
                </c:pt>
                <c:pt idx="26">
                  <c:v>104.12181180611381</c:v>
                </c:pt>
                <c:pt idx="27">
                  <c:v>102.87520934628871</c:v>
                </c:pt>
                <c:pt idx="28">
                  <c:v>101.81324204714123</c:v>
                </c:pt>
                <c:pt idx="29">
                  <c:v>100.87542424220359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86784"/>
        <c:axId val="135288320"/>
      </c:scatterChart>
      <c:valAx>
        <c:axId val="135286784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endParaRPr lang="ru-RU"/>
          </a:p>
        </c:txPr>
        <c:crossAx val="135288320"/>
        <c:crosses val="autoZero"/>
        <c:crossBetween val="midCat"/>
      </c:valAx>
      <c:valAx>
        <c:axId val="135288320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endParaRPr lang="ru-RU"/>
          </a:p>
        </c:txPr>
        <c:crossAx val="13528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Лист1!$F$11:$AJ$11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287.47733394602392</c:v>
                </c:pt>
                <c:pt idx="2">
                  <c:v>275.01989164511792</c:v>
                </c:pt>
                <c:pt idx="3">
                  <c:v>262.69213552613974</c:v>
                </c:pt>
                <c:pt idx="4">
                  <c:v>250.55701577301647</c:v>
                </c:pt>
                <c:pt idx="5">
                  <c:v>238.67524000490067</c:v>
                </c:pt>
                <c:pt idx="6">
                  <c:v>227.10457334883742</c:v>
                </c:pt>
                <c:pt idx="7">
                  <c:v>215.89917810388795</c:v>
                </c:pt>
                <c:pt idx="8">
                  <c:v>205.10900143437459</c:v>
                </c:pt>
                <c:pt idx="9">
                  <c:v>194.77921862329919</c:v>
                </c:pt>
                <c:pt idx="10">
                  <c:v>184.94973839223081</c:v>
                </c:pt>
                <c:pt idx="11">
                  <c:v>175.65477568107517</c:v>
                </c:pt>
                <c:pt idx="12">
                  <c:v>166.92249611174697</c:v>
                </c:pt>
                <c:pt idx="13">
                  <c:v>158.77473516585943</c:v>
                </c:pt>
                <c:pt idx="14">
                  <c:v>151.226793919252</c:v>
                </c:pt>
                <c:pt idx="15">
                  <c:v>144.28731202462149</c:v>
                </c:pt>
                <c:pt idx="16">
                  <c:v>137.95821754379239</c:v>
                </c:pt>
                <c:pt idx="17">
                  <c:v>132.23475222546401</c:v>
                </c:pt>
                <c:pt idx="18">
                  <c:v>127.10556992026865</c:v>
                </c:pt>
                <c:pt idx="19">
                  <c:v>122.55290503534707</c:v>
                </c:pt>
                <c:pt idx="20">
                  <c:v>118.55280726290889</c:v>
                </c:pt>
                <c:pt idx="21">
                  <c:v>115.07543827375075</c:v>
                </c:pt>
                <c:pt idx="22">
                  <c:v>112.08542564491957</c:v>
                </c:pt>
                <c:pt idx="23">
                  <c:v>109.54226898364151</c:v>
                </c:pt>
                <c:pt idx="24">
                  <c:v>107.4007930064752</c:v>
                </c:pt>
                <c:pt idx="25">
                  <c:v>105.61164221949996</c:v>
                </c:pt>
                <c:pt idx="26">
                  <c:v>104.12181180611381</c:v>
                </c:pt>
                <c:pt idx="27">
                  <c:v>102.87520934628871</c:v>
                </c:pt>
                <c:pt idx="28">
                  <c:v>101.81324204714123</c:v>
                </c:pt>
                <c:pt idx="29">
                  <c:v>100.87542424220359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Лист2!$F$12:$AJ$12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44416"/>
        <c:axId val="166045952"/>
      </c:scatterChart>
      <c:valAx>
        <c:axId val="166044416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endParaRPr lang="ru-RU"/>
          </a:p>
        </c:txPr>
        <c:crossAx val="166045952"/>
        <c:crosses val="autoZero"/>
        <c:crossBetween val="midCat"/>
      </c:valAx>
      <c:valAx>
        <c:axId val="166045952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endParaRPr lang="ru-RU"/>
          </a:p>
        </c:txPr>
        <c:crossAx val="166044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31"/>
              <c:pt idx="0">
                <c:v>0</c:v>
              </c:pt>
              <c:pt idx="1">
                <c:v>3.3333333333333335E-3</c:v>
              </c:pt>
              <c:pt idx="2">
                <c:v>6.6666666666666671E-3</c:v>
              </c:pt>
              <c:pt idx="3">
                <c:v>0.01</c:v>
              </c:pt>
              <c:pt idx="4">
                <c:v>1.3333333333333334E-2</c:v>
              </c:pt>
              <c:pt idx="5">
                <c:v>1.6666666666666666E-2</c:v>
              </c:pt>
              <c:pt idx="6">
                <c:v>0.02</c:v>
              </c:pt>
              <c:pt idx="7">
                <c:v>2.3333333333333334E-2</c:v>
              </c:pt>
              <c:pt idx="8">
                <c:v>2.6666666666666668E-2</c:v>
              </c:pt>
              <c:pt idx="9">
                <c:v>3.0000000000000002E-2</c:v>
              </c:pt>
              <c:pt idx="10">
                <c:v>3.3333333333333333E-2</c:v>
              </c:pt>
              <c:pt idx="11">
                <c:v>3.6666666666666667E-2</c:v>
              </c:pt>
              <c:pt idx="12">
                <c:v>0.04</c:v>
              </c:pt>
              <c:pt idx="13">
                <c:v>4.3333333333333335E-2</c:v>
              </c:pt>
              <c:pt idx="14">
                <c:v>4.6666666666666669E-2</c:v>
              </c:pt>
              <c:pt idx="15">
                <c:v>0.05</c:v>
              </c:pt>
              <c:pt idx="16">
                <c:v>5.3333333333333337E-2</c:v>
              </c:pt>
              <c:pt idx="17">
                <c:v>5.6666666666666671E-2</c:v>
              </c:pt>
              <c:pt idx="18">
                <c:v>6.0000000000000005E-2</c:v>
              </c:pt>
              <c:pt idx="19">
                <c:v>6.3333333333333339E-2</c:v>
              </c:pt>
              <c:pt idx="20">
                <c:v>6.6666666666666666E-2</c:v>
              </c:pt>
              <c:pt idx="21">
                <c:v>6.9999999999999993E-2</c:v>
              </c:pt>
              <c:pt idx="22">
                <c:v>7.333333333333332E-2</c:v>
              </c:pt>
              <c:pt idx="23">
                <c:v>7.6666666666666647E-2</c:v>
              </c:pt>
              <c:pt idx="24">
                <c:v>7.9999999999999974E-2</c:v>
              </c:pt>
              <c:pt idx="25">
                <c:v>8.3333333333333301E-2</c:v>
              </c:pt>
              <c:pt idx="26">
                <c:v>8.6666666666666628E-2</c:v>
              </c:pt>
              <c:pt idx="27">
                <c:v>8.9999999999999955E-2</c:v>
              </c:pt>
              <c:pt idx="28">
                <c:v>9.3333333333333282E-2</c:v>
              </c:pt>
              <c:pt idx="29">
                <c:v>9.6666666666666609E-2</c:v>
              </c:pt>
              <c:pt idx="30">
                <c:v>9.9999999999999936E-2</c:v>
              </c:pt>
            </c:numLit>
          </c:xVal>
          <c:yVal>
            <c:numLit>
              <c:formatCode>General</c:formatCode>
              <c:ptCount val="31"/>
              <c:pt idx="0">
                <c:v>300</c:v>
              </c:pt>
              <c:pt idx="1">
                <c:v>293.28624346693624</c:v>
              </c:pt>
              <c:pt idx="2">
                <c:v>286.57351596044163</c:v>
              </c:pt>
              <c:pt idx="3">
                <c:v>279.86078845394701</c:v>
              </c:pt>
              <c:pt idx="4">
                <c:v>273.15110305375981</c:v>
              </c:pt>
              <c:pt idx="5">
                <c:v>266.44141765357256</c:v>
              </c:pt>
              <c:pt idx="6">
                <c:v>259.73665448478408</c:v>
              </c:pt>
              <c:pt idx="7">
                <c:v>253.03189131599561</c:v>
              </c:pt>
              <c:pt idx="8">
                <c:v>246.33371537856041</c:v>
              </c:pt>
              <c:pt idx="9">
                <c:v>239.63553944112522</c:v>
              </c:pt>
              <c:pt idx="10">
                <c:v>232.9453278413726</c:v>
              </c:pt>
              <c:pt idx="11">
                <c:v>226.25511624161999</c:v>
              </c:pt>
              <c:pt idx="12">
                <c:v>219.57389800609968</c:v>
              </c:pt>
              <c:pt idx="13">
                <c:v>212.89267977057938</c:v>
              </c:pt>
              <c:pt idx="14">
                <c:v>206.22109087266466</c:v>
              </c:pt>
              <c:pt idx="15">
                <c:v>199.54950197474994</c:v>
              </c:pt>
              <c:pt idx="16">
                <c:v>192.88775753955161</c:v>
              </c:pt>
              <c:pt idx="17">
                <c:v>186.22601310435331</c:v>
              </c:pt>
              <c:pt idx="18">
                <c:v>179.57389800672252</c:v>
              </c:pt>
              <c:pt idx="19">
                <c:v>172.92178290909169</c:v>
              </c:pt>
              <c:pt idx="20">
                <c:v>166.2786611756236</c:v>
              </c:pt>
              <c:pt idx="21">
                <c:v>159.6355394421555</c:v>
              </c:pt>
              <c:pt idx="22">
                <c:v>153.00038204628092</c:v>
              </c:pt>
              <c:pt idx="23">
                <c:v>146.36522465040633</c:v>
              </c:pt>
              <c:pt idx="24">
                <c:v>139.73665448579186</c:v>
              </c:pt>
              <c:pt idx="25">
                <c:v>133.10808432117742</c:v>
              </c:pt>
              <c:pt idx="26">
                <c:v>126.48443638788059</c:v>
              </c:pt>
              <c:pt idx="27">
                <c:v>119.86078845458377</c:v>
              </c:pt>
              <c:pt idx="28">
                <c:v>113.24018262753927</c:v>
              </c:pt>
              <c:pt idx="29">
                <c:v>106.61957680049478</c:v>
              </c:pt>
              <c:pt idx="30">
                <c:v>100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99-462D-947D-376201D9C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25568"/>
        <c:axId val="173727104"/>
      </c:scatterChart>
      <c:valAx>
        <c:axId val="173725568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endParaRPr lang="ru-RU"/>
          </a:p>
        </c:txPr>
        <c:crossAx val="173727104"/>
        <c:crosses val="autoZero"/>
        <c:crossBetween val="midCat"/>
      </c:valAx>
      <c:valAx>
        <c:axId val="173727104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 pitchFamily="18" charset="0"/>
                <a:cs typeface="Times New Roman" pitchFamily="18" charset="0"/>
              </a:defRPr>
            </a:pPr>
            <a:endParaRPr lang="ru-RU"/>
          </a:p>
        </c:txPr>
        <c:crossAx val="173725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23</xdr:row>
      <xdr:rowOff>19050</xdr:rowOff>
    </xdr:from>
    <xdr:to>
      <xdr:col>7</xdr:col>
      <xdr:colOff>819150</xdr:colOff>
      <xdr:row>43</xdr:row>
      <xdr:rowOff>19050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28575</xdr:colOff>
      <xdr:row>23</xdr:row>
      <xdr:rowOff>66674</xdr:rowOff>
    </xdr:from>
    <xdr:ext cx="561975" cy="31432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638175" y="4229099"/>
              <a:ext cx="561975" cy="314325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0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𝐓</m:t>
                    </m:r>
                    <m:r>
                      <a:rPr lang="en-US" sz="1400" b="1" i="0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,[</m:t>
                    </m:r>
                    <m:r>
                      <a:rPr lang="en-US" sz="1400" b="1" i="0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𝐂</m:t>
                    </m:r>
                    <m:r>
                      <a:rPr lang="en-US" sz="1400" b="1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ru-RU" sz="2800" b="1">
                <a:effectLst/>
              </a:endParaRPr>
            </a:p>
            <a:p>
              <a:endParaRPr lang="ru-RU" sz="2000" b="0" i="0">
                <a:latin typeface="+mn-lt"/>
              </a:endParaRPr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000-000003000000}"/>
                </a:ext>
              </a:extLst>
            </xdr:cNvPr>
            <xdr:cNvSpPr txBox="1"/>
          </xdr:nvSpPr>
          <xdr:spPr>
            <a:xfrm>
              <a:off x="638175" y="4229099"/>
              <a:ext cx="561975" cy="314325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400" b="1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𝐓,[𝐂]</a:t>
              </a:r>
              <a:endParaRPr lang="ru-RU" sz="2800" b="1">
                <a:effectLst/>
              </a:endParaRPr>
            </a:p>
            <a:p>
              <a:endParaRPr lang="ru-RU" sz="2000" b="0" i="0">
                <a:latin typeface="+mn-lt"/>
              </a:endParaRPr>
            </a:p>
          </xdr:txBody>
        </xdr:sp>
      </mc:Fallback>
    </mc:AlternateContent>
    <xdr:clientData/>
  </xdr:oneCellAnchor>
  <xdr:twoCellAnchor>
    <xdr:from>
      <xdr:col>8</xdr:col>
      <xdr:colOff>0</xdr:colOff>
      <xdr:row>23</xdr:row>
      <xdr:rowOff>30957</xdr:rowOff>
    </xdr:from>
    <xdr:to>
      <xdr:col>17</xdr:col>
      <xdr:colOff>212406</xdr:colOff>
      <xdr:row>43</xdr:row>
      <xdr:rowOff>30957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C766150C-24FE-4618-A293-DBEC03123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8</xdr:col>
      <xdr:colOff>78581</xdr:colOff>
      <xdr:row>23</xdr:row>
      <xdr:rowOff>52388</xdr:rowOff>
    </xdr:from>
    <xdr:ext cx="578644" cy="34766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5326856" y="4214813"/>
              <a:ext cx="578644" cy="347662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0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𝐓</m:t>
                    </m:r>
                    <m:r>
                      <a:rPr lang="en-US" sz="1400" b="1" i="0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,[</m:t>
                    </m:r>
                    <m:r>
                      <a:rPr lang="en-US" sz="1400" b="1" i="0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𝐂</m:t>
                    </m:r>
                    <m:r>
                      <a:rPr lang="en-US" sz="1400" b="1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ru-RU" sz="1800" b="1">
                <a:effectLst/>
              </a:endParaRPr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000-000003000000}"/>
                </a:ext>
              </a:extLst>
            </xdr:cNvPr>
            <xdr:cNvSpPr txBox="1"/>
          </xdr:nvSpPr>
          <xdr:spPr>
            <a:xfrm>
              <a:off x="5326856" y="4214813"/>
              <a:ext cx="578644" cy="347662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400" b="1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𝐓,[𝐂]</a:t>
              </a:r>
              <a:endParaRPr lang="ru-RU" sz="1800" b="1">
                <a:effectLst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/>
                    </a:rPr>
                    <m:t>,[</m:t>
                  </m:r>
                  <m:r>
                    <a:rPr lang="en-US" sz="1400" b="1" i="1">
                      <a:latin typeface="Cambria Math"/>
                    </a:rPr>
                    <m:t>𝒎</m:t>
                  </m:r>
                  <m:r>
                    <a:rPr lang="en-US" sz="1400" b="1" i="1">
                      <a:latin typeface="Cambria Math"/>
                    </a:rPr>
                    <m:t>]</m:t>
                  </m:r>
                </m:oMath>
              </a14:m>
              <a:endParaRPr lang="ru-RU" sz="1600" b="1"/>
            </a:p>
          </cdr:txBody>
        </cdr:sp>
      </mc:Choice>
      <mc:Fallback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 i="0">
                  <a:latin typeface="+mn-lt"/>
                </a:rPr>
                <a:t>L</a:t>
              </a:r>
              <a:r>
                <a:rPr lang="en-US" sz="1400" b="1" i="0">
                  <a:latin typeface="Cambria Math"/>
                </a:rPr>
                <a:t>,[𝒎]</a:t>
              </a:r>
              <a:endParaRPr lang="ru-RU" sz="1600" b="1"/>
            </a:p>
          </cdr:txBody>
        </cdr:sp>
      </mc:Fallback>
    </mc:AlternateContent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/>
                    </a:rPr>
                    <m:t>,[</m:t>
                  </m:r>
                  <m:r>
                    <a:rPr lang="en-US" sz="1400" b="1" i="1">
                      <a:latin typeface="Cambria Math"/>
                    </a:rPr>
                    <m:t>𝒎</m:t>
                  </m:r>
                  <m:r>
                    <a:rPr lang="en-US" sz="1400" b="1" i="1">
                      <a:latin typeface="Cambria Math"/>
                    </a:rPr>
                    <m:t>]</m:t>
                  </m:r>
                </m:oMath>
              </a14:m>
              <a:endParaRPr lang="ru-RU" sz="1600" b="1"/>
            </a:p>
          </cdr:txBody>
        </cdr:sp>
      </mc:Choice>
      <mc:Fallback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 i="0">
                  <a:latin typeface="+mn-lt"/>
                </a:rPr>
                <a:t>L</a:t>
              </a:r>
              <a:r>
                <a:rPr lang="en-US" sz="1400" b="1" i="0">
                  <a:latin typeface="Cambria Math"/>
                </a:rPr>
                <a:t>,[𝒎]</a:t>
              </a:r>
              <a:endParaRPr lang="ru-RU" sz="1600" b="1"/>
            </a:p>
          </cdr:txBody>
        </cdr:sp>
      </mc:Fallback>
    </mc:AlternateContent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18</xdr:row>
      <xdr:rowOff>64294</xdr:rowOff>
    </xdr:from>
    <xdr:to>
      <xdr:col>7</xdr:col>
      <xdr:colOff>285749</xdr:colOff>
      <xdr:row>38</xdr:row>
      <xdr:rowOff>64294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3E36C16-23A5-460D-A610-F023048BA9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99060</xdr:colOff>
      <xdr:row>18</xdr:row>
      <xdr:rowOff>116205</xdr:rowOff>
    </xdr:from>
    <xdr:ext cx="452438" cy="41671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DC6813F2-4850-4138-A82F-2F75E3829163}"/>
                </a:ext>
              </a:extLst>
            </xdr:cNvPr>
            <xdr:cNvSpPr txBox="1"/>
          </xdr:nvSpPr>
          <xdr:spPr>
            <a:xfrm>
              <a:off x="99060" y="349948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>
                <a:latin typeface="Times New Roman" pitchFamily="18" charset="0"/>
                <a:cs typeface="Times New Roman" pitchFamily="18" charset="0"/>
              </a:endParaRPr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xmlns:a14="http://schemas.microsoft.com/office/drawing/2010/main" id="{DC6813F2-4850-4138-A82F-2F75E3829163}"/>
                </a:ext>
              </a:extLst>
            </xdr:cNvPr>
            <xdr:cNvSpPr txBox="1"/>
          </xdr:nvSpPr>
          <xdr:spPr>
            <a:xfrm>
              <a:off x="99060" y="349948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>
                <a:latin typeface="Times New Roman" pitchFamily="18" charset="0"/>
                <a:cs typeface="Times New Roman" pitchFamily="18" charset="0"/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 i="0">
                  <a:latin typeface="Times New Roman" pitchFamily="18" charset="0"/>
                  <a:cs typeface="Times New Roman" pitchFamily="18" charset="0"/>
                </a:rPr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/>
                    </a:rPr>
                    <m:t>,[</m:t>
                  </m:r>
                  <m:r>
                    <a:rPr lang="en-US" sz="1400" b="1" i="1">
                      <a:latin typeface="Cambria Math"/>
                    </a:rPr>
                    <m:t>𝒎</m:t>
                  </m:r>
                  <m:r>
                    <a:rPr lang="en-US" sz="1400" b="1" i="1">
                      <a:latin typeface="Cambria Math"/>
                    </a:rPr>
                    <m:t>]</m:t>
                  </m:r>
                </m:oMath>
              </a14:m>
              <a:endParaRPr lang="ru-RU" sz="1600" b="1">
                <a:latin typeface="Times New Roman" pitchFamily="18" charset="0"/>
                <a:cs typeface="Times New Roman" pitchFamily="18" charset="0"/>
              </a:endParaRPr>
            </a:p>
          </cdr:txBody>
        </cdr:sp>
      </mc:Choice>
      <mc:Fallback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 i="0">
                  <a:latin typeface="Times New Roman" pitchFamily="18" charset="0"/>
                  <a:cs typeface="Times New Roman" pitchFamily="18" charset="0"/>
                </a:rPr>
                <a:t>L</a:t>
              </a:r>
              <a:r>
                <a:rPr lang="en-US" sz="1400" b="1" i="0">
                  <a:latin typeface="Cambria Math"/>
                </a:rPr>
                <a:t>,[𝒎]</a:t>
              </a:r>
              <a:endParaRPr lang="ru-RU" sz="1600" b="1">
                <a:latin typeface="Times New Roman" pitchFamily="18" charset="0"/>
                <a:cs typeface="Times New Roman" pitchFamily="18" charset="0"/>
              </a:endParaRPr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20"/>
  <sheetViews>
    <sheetView zoomScale="80" zoomScaleNormal="80" workbookViewId="0">
      <selection activeCell="C4" sqref="C4"/>
    </sheetView>
  </sheetViews>
  <sheetFormatPr defaultRowHeight="14.4" x14ac:dyDescent="0.3"/>
  <cols>
    <col min="3" max="3" width="9.33203125" customWidth="1"/>
    <col min="6" max="6" width="7.109375" customWidth="1"/>
    <col min="7" max="7" width="12.109375" customWidth="1"/>
    <col min="8" max="8" width="12.44140625" customWidth="1"/>
    <col min="9" max="36" width="7.109375" customWidth="1"/>
  </cols>
  <sheetData>
    <row r="1" spans="1:36" x14ac:dyDescent="0.25">
      <c r="B1" s="1" t="s">
        <v>0</v>
      </c>
      <c r="C1" s="1">
        <v>0.1</v>
      </c>
    </row>
    <row r="2" spans="1:36" x14ac:dyDescent="0.25">
      <c r="B2" s="1" t="s">
        <v>1</v>
      </c>
      <c r="C2" s="2">
        <f>C1/30</f>
        <v>3.3333333333333335E-3</v>
      </c>
    </row>
    <row r="3" spans="1:36" x14ac:dyDescent="0.25">
      <c r="B3" s="1" t="s">
        <v>3</v>
      </c>
      <c r="C3" s="10">
        <v>120</v>
      </c>
    </row>
    <row r="4" spans="1:36" x14ac:dyDescent="0.25">
      <c r="B4" s="1" t="s">
        <v>2</v>
      </c>
      <c r="C4" s="8">
        <f>(C8*C7*C2^2)/(2*C9)</f>
        <v>0.4333333333333334</v>
      </c>
      <c r="D4">
        <v>60.233333333333341</v>
      </c>
      <c r="G4" s="9"/>
    </row>
    <row r="5" spans="1:36" x14ac:dyDescent="0.25">
      <c r="A5" s="5"/>
      <c r="B5" s="6"/>
      <c r="C5" s="6"/>
      <c r="D5" s="5"/>
    </row>
    <row r="6" spans="1:36" x14ac:dyDescent="0.25"/>
    <row r="7" spans="1:36" x14ac:dyDescent="0.25">
      <c r="B7" s="1" t="s">
        <v>4</v>
      </c>
      <c r="C7" s="1">
        <v>460</v>
      </c>
    </row>
    <row r="8" spans="1:36" x14ac:dyDescent="0.25">
      <c r="B8" s="1" t="s">
        <v>5</v>
      </c>
      <c r="C8" s="1">
        <v>7800</v>
      </c>
    </row>
    <row r="9" spans="1:36" x14ac:dyDescent="0.25">
      <c r="B9" s="1" t="s">
        <v>6</v>
      </c>
      <c r="C9" s="1">
        <v>46</v>
      </c>
    </row>
    <row r="10" spans="1:36" x14ac:dyDescent="0.25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25">
      <c r="E11" t="s">
        <v>0</v>
      </c>
      <c r="F11" s="3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25">
      <c r="B12" s="1" t="s">
        <v>9</v>
      </c>
      <c r="C12" s="1">
        <v>300</v>
      </c>
      <c r="E12" t="s">
        <v>7</v>
      </c>
      <c r="F12" s="4">
        <v>300</v>
      </c>
      <c r="G12" s="4">
        <v>287.47733394602392</v>
      </c>
      <c r="H12" s="4">
        <v>275.01989164511792</v>
      </c>
      <c r="I12" s="4">
        <v>262.69213552613974</v>
      </c>
      <c r="J12" s="4">
        <v>250.55701577301647</v>
      </c>
      <c r="K12" s="4">
        <v>238.67524000490067</v>
      </c>
      <c r="L12" s="4">
        <v>227.10457334883742</v>
      </c>
      <c r="M12" s="4">
        <v>215.89917810388795</v>
      </c>
      <c r="N12" s="4">
        <v>205.10900143437459</v>
      </c>
      <c r="O12" s="4">
        <v>194.77921862329919</v>
      </c>
      <c r="P12" s="4">
        <v>184.94973839223081</v>
      </c>
      <c r="Q12" s="4">
        <v>175.65477568107517</v>
      </c>
      <c r="R12" s="4">
        <v>166.92249611174697</v>
      </c>
      <c r="S12" s="4">
        <v>158.77473516585943</v>
      </c>
      <c r="T12" s="4">
        <v>151.226793919252</v>
      </c>
      <c r="U12" s="4">
        <v>144.28731202462149</v>
      </c>
      <c r="V12" s="4">
        <v>137.95821754379239</v>
      </c>
      <c r="W12" s="4">
        <v>132.23475222546401</v>
      </c>
      <c r="X12" s="4">
        <v>127.10556992026865</v>
      </c>
      <c r="Y12" s="4">
        <v>122.55290503534707</v>
      </c>
      <c r="Z12" s="4">
        <v>118.55280726290889</v>
      </c>
      <c r="AA12" s="4">
        <v>115.07543827375075</v>
      </c>
      <c r="AB12" s="4">
        <v>112.08542564491957</v>
      </c>
      <c r="AC12" s="4">
        <v>109.54226898364151</v>
      </c>
      <c r="AD12" s="4">
        <v>107.4007930064752</v>
      </c>
      <c r="AE12" s="4">
        <v>105.61164221949996</v>
      </c>
      <c r="AF12" s="4">
        <v>104.12181180611381</v>
      </c>
      <c r="AG12" s="4">
        <v>102.87520934628871</v>
      </c>
      <c r="AH12" s="4">
        <v>101.81324204714123</v>
      </c>
      <c r="AI12" s="4">
        <v>100.87542424220359</v>
      </c>
      <c r="AJ12" s="4">
        <v>100</v>
      </c>
    </row>
    <row r="13" spans="1:36" x14ac:dyDescent="0.25">
      <c r="B13" s="1" t="s">
        <v>10</v>
      </c>
      <c r="C13" s="1">
        <v>100</v>
      </c>
    </row>
    <row r="14" spans="1:36" x14ac:dyDescent="0.25">
      <c r="E14" s="11" t="s">
        <v>8</v>
      </c>
      <c r="F14" s="11"/>
      <c r="G14" s="1">
        <f t="shared" ref="G14:AH14" si="1">G18*H14+G19</f>
        <v>287.50975677925891</v>
      </c>
      <c r="H14" s="1">
        <f t="shared" si="1"/>
        <v>275.08435922498779</v>
      </c>
      <c r="I14" s="1">
        <f t="shared" si="1"/>
        <v>262.78789683045625</v>
      </c>
      <c r="J14" s="1">
        <f t="shared" si="1"/>
        <v>250.68295704455744</v>
      </c>
      <c r="K14" s="1">
        <f t="shared" si="1"/>
        <v>238.82989980174059</v>
      </c>
      <c r="L14" s="1">
        <f t="shared" si="1"/>
        <v>227.28616215260351</v>
      </c>
      <c r="M14" s="1">
        <f t="shared" si="1"/>
        <v>216.10560211099852</v>
      </c>
      <c r="N14" s="1">
        <f t="shared" si="1"/>
        <v>205.33789008361464</v>
      </c>
      <c r="O14" s="1">
        <f t="shared" si="1"/>
        <v>195.02795535471083</v>
      </c>
      <c r="P14" s="1">
        <f t="shared" si="1"/>
        <v>185.21549408863024</v>
      </c>
      <c r="Q14" s="1">
        <f t="shared" si="1"/>
        <v>175.9345442153483</v>
      </c>
      <c r="R14" s="1">
        <f t="shared" si="1"/>
        <v>167.2131314106125</v>
      </c>
      <c r="S14" s="1">
        <f t="shared" si="1"/>
        <v>159.07298920360785</v>
      </c>
      <c r="T14" s="1">
        <f t="shared" si="1"/>
        <v>151.5293550721</v>
      </c>
      <c r="U14" s="1">
        <f t="shared" si="1"/>
        <v>144.5908432462881</v>
      </c>
      <c r="V14" s="1">
        <f t="shared" si="1"/>
        <v>138.25939386380944</v>
      </c>
      <c r="W14" s="1">
        <f t="shared" si="1"/>
        <v>132.53029712136487</v>
      </c>
      <c r="X14" s="1">
        <f t="shared" si="1"/>
        <v>127.39229017072194</v>
      </c>
      <c r="Y14" s="1">
        <f t="shared" si="1"/>
        <v>122.82772372098557</v>
      </c>
      <c r="Z14" s="1">
        <f t="shared" si="1"/>
        <v>118.81279464252613</v>
      </c>
      <c r="AA14" s="1">
        <f t="shared" si="1"/>
        <v>115.31784032330113</v>
      </c>
      <c r="AB14" s="1">
        <f t="shared" si="1"/>
        <v>112.30769010317684</v>
      </c>
      <c r="AC14" s="1">
        <f t="shared" si="1"/>
        <v>109.74206879956701</v>
      </c>
      <c r="AD14" s="1">
        <f t="shared" si="1"/>
        <v>107.57604712780815</v>
      </c>
      <c r="AE14" s="1">
        <f t="shared" si="1"/>
        <v>105.76053369871518</v>
      </c>
      <c r="AF14" s="1">
        <f t="shared" si="1"/>
        <v>104.24280322805262</v>
      </c>
      <c r="AG14" s="1">
        <f t="shared" si="1"/>
        <v>102.96705560126766</v>
      </c>
      <c r="AH14" s="1">
        <f t="shared" si="1"/>
        <v>101.87500048444052</v>
      </c>
      <c r="AI14" s="1">
        <f>AI18*AJ14+AI19</f>
        <v>100.90646224221194</v>
      </c>
      <c r="AJ14" s="1">
        <f>AJ12</f>
        <v>100</v>
      </c>
    </row>
    <row r="15" spans="1:36" x14ac:dyDescent="0.25">
      <c r="B15" s="11" t="s">
        <v>13</v>
      </c>
      <c r="C15" s="11">
        <f>C9/(C2^2)</f>
        <v>4139999.9999999991</v>
      </c>
    </row>
    <row r="16" spans="1:36" x14ac:dyDescent="0.25">
      <c r="B16" s="11" t="s">
        <v>14</v>
      </c>
      <c r="C16" s="11">
        <f>(2*C9)/(C2^2)+(C8*C7)/C4</f>
        <v>16559999.999999996</v>
      </c>
    </row>
    <row r="17" spans="2:35" x14ac:dyDescent="0.25">
      <c r="B17" s="11" t="s">
        <v>15</v>
      </c>
      <c r="C17" s="11">
        <f>C15</f>
        <v>4139999.9999999991</v>
      </c>
    </row>
    <row r="18" spans="2:35" x14ac:dyDescent="0.25">
      <c r="E18" s="11" t="s">
        <v>16</v>
      </c>
      <c r="F18" s="11">
        <v>0</v>
      </c>
      <c r="G18" s="11">
        <f>$C$15/($C$16-$C$17*F18)</f>
        <v>0.25</v>
      </c>
      <c r="H18" s="11">
        <f t="shared" ref="H18:AI18" si="2">$C$15/($C$16-$C$17*G18)</f>
        <v>0.26666666666666666</v>
      </c>
      <c r="I18" s="11">
        <f t="shared" si="2"/>
        <v>0.26785714285714285</v>
      </c>
      <c r="J18" s="11">
        <f t="shared" si="2"/>
        <v>0.26794258373205743</v>
      </c>
      <c r="K18" s="11">
        <f t="shared" si="2"/>
        <v>0.26794871794871794</v>
      </c>
      <c r="L18" s="11">
        <f t="shared" si="2"/>
        <v>0.26794915836482308</v>
      </c>
      <c r="M18" s="11">
        <f t="shared" si="2"/>
        <v>0.26794918998527245</v>
      </c>
      <c r="N18" s="11">
        <f t="shared" si="2"/>
        <v>0.26794919225551855</v>
      </c>
      <c r="O18" s="11">
        <f t="shared" si="2"/>
        <v>0.26794919241851489</v>
      </c>
      <c r="P18" s="11">
        <f t="shared" si="2"/>
        <v>0.26794919243021753</v>
      </c>
      <c r="Q18" s="11">
        <f t="shared" si="2"/>
        <v>0.26794919243105775</v>
      </c>
      <c r="R18" s="11">
        <f t="shared" si="2"/>
        <v>0.26794919243111803</v>
      </c>
      <c r="S18" s="11">
        <f t="shared" si="2"/>
        <v>0.26794919243112236</v>
      </c>
      <c r="T18" s="11">
        <f t="shared" si="2"/>
        <v>0.2679491924311227</v>
      </c>
      <c r="U18" s="11">
        <f t="shared" si="2"/>
        <v>0.2679491924311227</v>
      </c>
      <c r="V18" s="11">
        <f t="shared" si="2"/>
        <v>0.2679491924311227</v>
      </c>
      <c r="W18" s="11">
        <f t="shared" si="2"/>
        <v>0.2679491924311227</v>
      </c>
      <c r="X18" s="11">
        <f t="shared" si="2"/>
        <v>0.2679491924311227</v>
      </c>
      <c r="Y18" s="11">
        <f t="shared" si="2"/>
        <v>0.2679491924311227</v>
      </c>
      <c r="Z18" s="11">
        <f t="shared" si="2"/>
        <v>0.2679491924311227</v>
      </c>
      <c r="AA18" s="11">
        <f t="shared" si="2"/>
        <v>0.2679491924311227</v>
      </c>
      <c r="AB18" s="11">
        <f t="shared" si="2"/>
        <v>0.2679491924311227</v>
      </c>
      <c r="AC18" s="11">
        <f t="shared" si="2"/>
        <v>0.2679491924311227</v>
      </c>
      <c r="AD18" s="11">
        <f t="shared" si="2"/>
        <v>0.2679491924311227</v>
      </c>
      <c r="AE18" s="11">
        <f t="shared" si="2"/>
        <v>0.2679491924311227</v>
      </c>
      <c r="AF18" s="11">
        <f t="shared" si="2"/>
        <v>0.2679491924311227</v>
      </c>
      <c r="AG18" s="11">
        <f t="shared" si="2"/>
        <v>0.2679491924311227</v>
      </c>
      <c r="AH18" s="11">
        <f t="shared" si="2"/>
        <v>0.2679491924311227</v>
      </c>
      <c r="AI18" s="11">
        <f t="shared" si="2"/>
        <v>0.2679491924311227</v>
      </c>
    </row>
    <row r="19" spans="2:35" x14ac:dyDescent="0.25">
      <c r="E19" s="11" t="s">
        <v>17</v>
      </c>
      <c r="F19" s="11">
        <f>F12</f>
        <v>300</v>
      </c>
      <c r="G19" s="11">
        <f>(F19*$C$17-G20)/($C$16-$C$17*F18)</f>
        <v>218.73866697301196</v>
      </c>
      <c r="H19" s="11">
        <f t="shared" ref="H19:AI19" si="3">(G19*$C$17-H20)/($C$16-$C$17*G18)</f>
        <v>205.0075867368661</v>
      </c>
      <c r="I19" s="11">
        <f t="shared" si="3"/>
        <v>195.64067619352119</v>
      </c>
      <c r="J19" s="11">
        <f t="shared" si="3"/>
        <v>186.69025661921069</v>
      </c>
      <c r="K19" s="11">
        <f t="shared" si="3"/>
        <v>177.92886404546607</v>
      </c>
      <c r="L19" s="11">
        <f t="shared" si="3"/>
        <v>169.38084794903813</v>
      </c>
      <c r="M19" s="11">
        <f t="shared" si="3"/>
        <v>161.08548078980905</v>
      </c>
      <c r="N19" s="11">
        <f t="shared" si="3"/>
        <v>153.08030697907455</v>
      </c>
      <c r="O19" s="11">
        <f t="shared" si="3"/>
        <v>145.39961329026613</v>
      </c>
      <c r="P19" s="11">
        <f t="shared" si="3"/>
        <v>138.07397504554925</v>
      </c>
      <c r="Q19" s="11">
        <f t="shared" si="3"/>
        <v>131.12992069000634</v>
      </c>
      <c r="R19" s="11">
        <f t="shared" si="3"/>
        <v>124.58965241590184</v>
      </c>
      <c r="S19" s="11">
        <f t="shared" si="3"/>
        <v>118.47082088242986</v>
      </c>
      <c r="T19" s="11">
        <f t="shared" si="3"/>
        <v>112.78635539132206</v>
      </c>
      <c r="U19" s="11">
        <f t="shared" si="3"/>
        <v>107.54435031446384</v>
      </c>
      <c r="V19" s="11">
        <f t="shared" si="3"/>
        <v>102.74800777748298</v>
      </c>
      <c r="W19" s="11">
        <f t="shared" si="3"/>
        <v>98.395635848168666</v>
      </c>
      <c r="X19" s="11">
        <f t="shared" si="3"/>
        <v>94.480700791530808</v>
      </c>
      <c r="Y19" s="11">
        <f t="shared" si="3"/>
        <v>90.991931346035869</v>
      </c>
      <c r="Z19" s="11">
        <f t="shared" si="3"/>
        <v>87.913472454996437</v>
      </c>
      <c r="AA19" s="11">
        <f t="shared" si="3"/>
        <v>85.225085456350101</v>
      </c>
      <c r="AB19" s="11">
        <f t="shared" si="3"/>
        <v>82.902391392612145</v>
      </c>
      <c r="AC19" s="11">
        <f t="shared" si="3"/>
        <v>80.917153846738415</v>
      </c>
      <c r="AD19" s="11">
        <f t="shared" si="3"/>
        <v>79.23759753215289</v>
      </c>
      <c r="AE19" s="11">
        <f t="shared" si="3"/>
        <v>77.828758757002049</v>
      </c>
      <c r="AF19" s="11">
        <f t="shared" si="3"/>
        <v>76.652863832682442</v>
      </c>
      <c r="AG19" s="11">
        <f t="shared" si="3"/>
        <v>75.669731492541587</v>
      </c>
      <c r="AH19" s="11">
        <f t="shared" si="3"/>
        <v>74.837195415558256</v>
      </c>
      <c r="AI19" s="11">
        <f t="shared" si="3"/>
        <v>74.111542999099669</v>
      </c>
    </row>
    <row r="20" spans="2:35" x14ac:dyDescent="0.25">
      <c r="E20" s="11" t="s">
        <v>18</v>
      </c>
      <c r="F20" s="11">
        <f>-(($C$8*$C$7)/$C$4)*F12</f>
        <v>-2483999999.9999995</v>
      </c>
      <c r="G20" s="11">
        <f t="shared" ref="G20:AI20" si="4">-(($C$8*$C$7)/$C$4)*G12</f>
        <v>-2380312325.0730777</v>
      </c>
      <c r="H20" s="11">
        <f t="shared" si="4"/>
        <v>-2277164702.8215761</v>
      </c>
      <c r="I20" s="11">
        <f t="shared" si="4"/>
        <v>-2175090882.1564369</v>
      </c>
      <c r="J20" s="11">
        <f t="shared" si="4"/>
        <v>-2074612090.6005762</v>
      </c>
      <c r="K20" s="11">
        <f t="shared" si="4"/>
        <v>-1976230987.2405775</v>
      </c>
      <c r="L20" s="11">
        <f t="shared" si="4"/>
        <v>-1880425867.3283737</v>
      </c>
      <c r="M20" s="11">
        <f t="shared" si="4"/>
        <v>-1787645194.700192</v>
      </c>
      <c r="N20" s="11">
        <f t="shared" si="4"/>
        <v>-1698302531.8766215</v>
      </c>
      <c r="O20" s="11">
        <f t="shared" si="4"/>
        <v>-1612771930.200917</v>
      </c>
      <c r="P20" s="11">
        <f t="shared" si="4"/>
        <v>-1531383833.887671</v>
      </c>
      <c r="Q20" s="11">
        <f t="shared" si="4"/>
        <v>-1454421542.6393023</v>
      </c>
      <c r="R20" s="11">
        <f t="shared" si="4"/>
        <v>-1382118267.8052647</v>
      </c>
      <c r="S20" s="11">
        <f t="shared" si="4"/>
        <v>-1314654807.173316</v>
      </c>
      <c r="T20" s="11">
        <f t="shared" si="4"/>
        <v>-1252157853.6514065</v>
      </c>
      <c r="U20" s="11">
        <f t="shared" si="4"/>
        <v>-1194698943.5638657</v>
      </c>
      <c r="V20" s="11">
        <f t="shared" si="4"/>
        <v>-1142294041.2626009</v>
      </c>
      <c r="W20" s="11">
        <f t="shared" si="4"/>
        <v>-1094903748.4268417</v>
      </c>
      <c r="X20" s="11">
        <f t="shared" si="4"/>
        <v>-1052434118.9398243</v>
      </c>
      <c r="Y20" s="11">
        <f t="shared" si="4"/>
        <v>-1014738053.6926736</v>
      </c>
      <c r="Z20" s="11">
        <f t="shared" si="4"/>
        <v>-981617244.1368854</v>
      </c>
      <c r="AA20" s="11">
        <f t="shared" si="4"/>
        <v>-952824628.90665615</v>
      </c>
      <c r="AB20" s="11">
        <f t="shared" si="4"/>
        <v>-928067324.33993387</v>
      </c>
      <c r="AC20" s="11">
        <f t="shared" si="4"/>
        <v>-907009987.1845516</v>
      </c>
      <c r="AD20" s="11">
        <f t="shared" si="4"/>
        <v>-889278566.09361458</v>
      </c>
      <c r="AE20" s="11">
        <f t="shared" si="4"/>
        <v>-874464397.57745957</v>
      </c>
      <c r="AF20" s="11">
        <f t="shared" si="4"/>
        <v>-862128601.75462222</v>
      </c>
      <c r="AG20" s="11">
        <f t="shared" si="4"/>
        <v>-851806733.38727045</v>
      </c>
      <c r="AH20" s="11">
        <f t="shared" si="4"/>
        <v>-843013644.15032935</v>
      </c>
      <c r="AI20" s="11">
        <f t="shared" si="4"/>
        <v>-835248512.72544563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5"/>
  <sheetViews>
    <sheetView tabSelected="1" workbookViewId="0">
      <selection activeCell="C7" sqref="C7"/>
    </sheetView>
  </sheetViews>
  <sheetFormatPr defaultRowHeight="14.4" x14ac:dyDescent="0.3"/>
  <cols>
    <col min="3" max="3" width="9.33203125" customWidth="1"/>
    <col min="6" max="6" width="7.109375" customWidth="1"/>
    <col min="7" max="7" width="12.109375" customWidth="1"/>
    <col min="8" max="8" width="12.44140625" customWidth="1"/>
    <col min="9" max="36" width="7.109375" customWidth="1"/>
  </cols>
  <sheetData>
    <row r="3" spans="2:36" ht="15" x14ac:dyDescent="0.25">
      <c r="B3" s="1" t="s">
        <v>0</v>
      </c>
      <c r="C3" s="1">
        <v>0.1</v>
      </c>
    </row>
    <row r="4" spans="2:36" ht="15" x14ac:dyDescent="0.25">
      <c r="B4" s="1" t="s">
        <v>1</v>
      </c>
      <c r="C4" s="2">
        <f>C3/30</f>
        <v>3.3333333333333335E-3</v>
      </c>
    </row>
    <row r="5" spans="2:36" ht="15" x14ac:dyDescent="0.25">
      <c r="B5" s="1" t="s">
        <v>2</v>
      </c>
      <c r="C5" s="2">
        <f>(C9*C8*C4^2)/(2*C10)</f>
        <v>0.4333333333333334</v>
      </c>
    </row>
    <row r="6" spans="2:36" ht="15" x14ac:dyDescent="0.25">
      <c r="B6" s="1" t="s">
        <v>3</v>
      </c>
      <c r="C6" s="1">
        <v>120</v>
      </c>
      <c r="D6">
        <v>60.233333333333341</v>
      </c>
    </row>
    <row r="7" spans="2:36" ht="15" x14ac:dyDescent="0.25">
      <c r="B7" s="4"/>
      <c r="C7" s="4"/>
    </row>
    <row r="8" spans="2:36" ht="15" x14ac:dyDescent="0.25">
      <c r="B8" s="1" t="s">
        <v>4</v>
      </c>
      <c r="C8" s="1">
        <v>460</v>
      </c>
    </row>
    <row r="9" spans="2:36" ht="15" x14ac:dyDescent="0.25">
      <c r="B9" s="1" t="s">
        <v>5</v>
      </c>
      <c r="C9" s="1">
        <v>7800</v>
      </c>
    </row>
    <row r="10" spans="2:36" ht="15" x14ac:dyDescent="0.25">
      <c r="B10" s="1" t="s">
        <v>6</v>
      </c>
      <c r="C10" s="1">
        <v>46</v>
      </c>
    </row>
    <row r="11" spans="2:36" ht="15" x14ac:dyDescent="0.25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ht="15" x14ac:dyDescent="0.25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ht="15" x14ac:dyDescent="0.25">
      <c r="B13" s="1" t="s">
        <v>10</v>
      </c>
      <c r="C13" s="1">
        <v>100</v>
      </c>
      <c r="E13" t="s">
        <v>7</v>
      </c>
      <c r="F13" s="4">
        <v>300</v>
      </c>
      <c r="G13" s="4">
        <v>280.34602914679897</v>
      </c>
      <c r="H13" s="4">
        <v>260.69205829359794</v>
      </c>
      <c r="I13" s="4">
        <v>241.69187227593491</v>
      </c>
      <c r="J13" s="4">
        <v>222.69168625827183</v>
      </c>
      <c r="K13" s="4">
        <v>204.95390631913148</v>
      </c>
      <c r="L13" s="4">
        <v>187.21612637999107</v>
      </c>
      <c r="M13" s="4">
        <v>171.26453784334268</v>
      </c>
      <c r="N13" s="4">
        <v>155.31294930669429</v>
      </c>
      <c r="O13" s="4">
        <v>141.55671337374599</v>
      </c>
      <c r="P13" s="4">
        <v>127.80047744079765</v>
      </c>
      <c r="Q13" s="4">
        <v>116.51671674932982</v>
      </c>
      <c r="R13" s="4">
        <v>105.23295605786197</v>
      </c>
      <c r="S13" s="4">
        <v>96.561989352755049</v>
      </c>
      <c r="T13" s="4">
        <v>87.891022647648128</v>
      </c>
      <c r="U13" s="4">
        <v>81.842538774051832</v>
      </c>
      <c r="V13" s="4">
        <v>75.794054900455549</v>
      </c>
      <c r="W13" s="4">
        <v>72.261187114604226</v>
      </c>
      <c r="X13" s="4">
        <v>68.728319328752917</v>
      </c>
      <c r="Y13" s="4">
        <v>67.506108522455037</v>
      </c>
      <c r="Z13" s="4">
        <v>66.283897716157142</v>
      </c>
      <c r="AA13" s="4">
        <v>67.088962026000345</v>
      </c>
      <c r="AB13" s="4">
        <v>67.894026335843549</v>
      </c>
      <c r="AC13" s="4">
        <v>70.383127200086093</v>
      </c>
      <c r="AD13" s="4">
        <v>72.872228064328638</v>
      </c>
      <c r="AE13" s="4">
        <v>76.658491877071754</v>
      </c>
      <c r="AF13" s="4">
        <v>80.444755689814855</v>
      </c>
      <c r="AG13" s="4">
        <v>85.111263870845988</v>
      </c>
      <c r="AH13" s="4">
        <v>89.777772051877108</v>
      </c>
      <c r="AI13" s="4">
        <v>94.888886025938547</v>
      </c>
      <c r="AJ13" s="4">
        <v>100</v>
      </c>
    </row>
    <row r="14" spans="2:36" x14ac:dyDescent="0.3">
      <c r="B14" s="7" t="s">
        <v>12</v>
      </c>
      <c r="C14">
        <v>1000</v>
      </c>
    </row>
    <row r="15" spans="2:36" ht="15" x14ac:dyDescent="0.25">
      <c r="B15" t="s">
        <v>11</v>
      </c>
      <c r="C15">
        <v>392</v>
      </c>
      <c r="E15" t="s">
        <v>8</v>
      </c>
      <c r="G15" s="4">
        <f>G13+(($C$10*$C$5)/($C$9*$C$8))*((H13-2*G13+F13)/($C$4^2))</f>
        <v>280.34602914679897</v>
      </c>
      <c r="H15" s="4">
        <f t="shared" ref="H15:AI15" si="1">H13+(($C$10*$C$5)/($C$9*$C$8))*((I13-2*H13+G13)/($C$4^2))</f>
        <v>261.01895071136693</v>
      </c>
      <c r="I15" s="4">
        <f t="shared" si="1"/>
        <v>241.69187227593488</v>
      </c>
      <c r="J15" s="4">
        <f t="shared" si="1"/>
        <v>223.32288929753321</v>
      </c>
      <c r="K15" s="4">
        <f t="shared" si="1"/>
        <v>204.95390631913145</v>
      </c>
      <c r="L15" s="4">
        <f t="shared" si="1"/>
        <v>188.10922208123708</v>
      </c>
      <c r="M15" s="4">
        <f t="shared" si="1"/>
        <v>171.26453784334268</v>
      </c>
      <c r="N15" s="4">
        <f t="shared" si="1"/>
        <v>156.41062560854434</v>
      </c>
      <c r="O15" s="4">
        <f t="shared" si="1"/>
        <v>141.55671337374596</v>
      </c>
      <c r="P15" s="4">
        <f t="shared" si="1"/>
        <v>129.0367150615379</v>
      </c>
      <c r="Q15" s="4">
        <f t="shared" si="1"/>
        <v>116.51671674932982</v>
      </c>
      <c r="R15" s="4">
        <f t="shared" si="1"/>
        <v>106.53935305104244</v>
      </c>
      <c r="S15" s="4">
        <f t="shared" si="1"/>
        <v>96.561989352755049</v>
      </c>
      <c r="T15" s="4">
        <f t="shared" si="1"/>
        <v>89.202264063403447</v>
      </c>
      <c r="U15" s="4">
        <f t="shared" si="1"/>
        <v>81.842538774051832</v>
      </c>
      <c r="V15" s="4">
        <f t="shared" si="1"/>
        <v>77.051862944328036</v>
      </c>
      <c r="W15" s="4">
        <f t="shared" si="1"/>
        <v>72.26118711460424</v>
      </c>
      <c r="X15" s="4">
        <f t="shared" si="1"/>
        <v>69.883647818529624</v>
      </c>
      <c r="Y15" s="4">
        <f t="shared" si="1"/>
        <v>67.506108522455037</v>
      </c>
      <c r="Z15" s="4">
        <f t="shared" si="1"/>
        <v>67.297535274227698</v>
      </c>
      <c r="AA15" s="4">
        <f t="shared" si="1"/>
        <v>67.088962026000345</v>
      </c>
      <c r="AB15" s="4">
        <f t="shared" si="1"/>
        <v>68.736044613043219</v>
      </c>
      <c r="AC15" s="4">
        <f t="shared" si="1"/>
        <v>70.383127200086093</v>
      </c>
      <c r="AD15" s="4">
        <f t="shared" si="1"/>
        <v>73.520809538578931</v>
      </c>
      <c r="AE15" s="4">
        <f t="shared" si="1"/>
        <v>76.658491877071754</v>
      </c>
      <c r="AF15" s="4">
        <f t="shared" si="1"/>
        <v>80.884877873958871</v>
      </c>
      <c r="AG15" s="4">
        <f t="shared" si="1"/>
        <v>85.111263870845988</v>
      </c>
      <c r="AH15" s="4">
        <f t="shared" si="1"/>
        <v>90.000074948392268</v>
      </c>
      <c r="AI15" s="4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</dc:creator>
  <cp:lastModifiedBy>мвидео</cp:lastModifiedBy>
  <dcterms:created xsi:type="dcterms:W3CDTF">2021-09-07T10:42:55Z</dcterms:created>
  <dcterms:modified xsi:type="dcterms:W3CDTF">2021-10-19T19:08:04Z</dcterms:modified>
</cp:coreProperties>
</file>